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S:\SME-Finance\Mumbai\Sachin\MIS\Cersai &amp; CKYC MIS\Cersai Working\"/>
    </mc:Choice>
  </mc:AlternateContent>
  <xr:revisionPtr revIDLastSave="0" documentId="8_{5B336C0B-CEDD-4694-979E-CAE460579611}" xr6:coauthVersionLast="47" xr6:coauthVersionMax="47" xr10:uidLastSave="{00000000-0000-0000-0000-000000000000}"/>
  <bookViews>
    <workbookView xWindow="-108" yWindow="-108" windowWidth="23256" windowHeight="12456" xr2:uid="{D044CB89-37A7-4559-9A5F-C854BDD40F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5" i="1"/>
  <c r="A13" i="1"/>
  <c r="A11" i="1"/>
  <c r="A9" i="1"/>
  <c r="A3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tc={FC8FC37D-E675-480A-921E-DAE7224EDADC}</author>
    <author>tc={B2E97C9C-5A6B-4E71-B716-1410828751E4}</author>
    <author>tc={C7976435-BDF2-45E0-9F3C-DD0B2519A338}</author>
    <author>tc={11C17718-3DFE-455F-B9C9-30CA32823A38}</author>
    <author>tc={CAD728FB-DDF6-4AE6-A377-A4B0E66B180A}</author>
    <author>tc={EAD620FD-18F9-4763-99A9-C344A6C9E236}</author>
    <author>tc={B3F9A3D9-887C-4AC2-8097-E1166E094B3A}</author>
    <author>tc={45B613B4-156D-4620-AC2C-ABAE64E6BC5E}</author>
    <author>tc={904A87E5-B116-4E49-83CA-915140B3DEA0}</author>
    <author>tc={6F3D4F03-2CE1-4110-8368-E673E85E58EF}</author>
    <author>tc={36C4480B-FB1E-4EFF-9ADC-9B274AC5DFF7}</author>
    <author>tc={F415664E-F4EC-4256-B677-E14791DCA0C0}</author>
    <author>tc={BD00ADA8-9F29-4C51-874B-8F4A938F680C}</author>
    <author>tc={D65B927B-279B-49B7-89A5-7A53D7DA34FD}</author>
    <author>tc={9D68CD83-FDA2-41A5-9312-B00F05093805}</author>
    <author>tc={1F2AF504-52F0-45C1-989A-FAFA161D6C00}</author>
    <author>tc={16D8E26D-AA47-4137-BE3E-CBDB77330290}</author>
    <author>tc={7DE5595B-2E3C-427A-9D7E-977944931343}</author>
    <author>tc={9FD5AB31-7387-4BBD-ADA6-78DD5503A77A}</author>
    <author>tc={AE08DF84-D786-4964-A944-D09CAB673811}</author>
    <author>tc={08AF8BAE-A3C5-41E4-B7F5-E336F46D3B33}</author>
    <author>tc={3B35385E-3889-47B2-BAB9-A384D7910893}</author>
    <author>tc={128E777C-0972-4DB7-9C8A-57EA48958CD4}</author>
    <author>tc={6E04F931-986D-4FBA-963F-BE066CFF35FE}</author>
    <author>tc={EA9BA7B4-6FF7-4092-A068-1B456E878AA3}</author>
    <author>tc={9F7BFFDE-325D-4EDF-A7AF-A06241FD530A}</author>
    <author>tc={0E8EC431-7637-480D-A8A4-00E6C5887D05}</author>
    <author>tc={2C79DF54-79BB-457B-97C6-CF741530ECDB}</author>
    <author>tc={ADEFF5FB-B026-44C0-8E57-97D516F99106}</author>
    <author>tc={68ECE317-40C7-4E17-B71C-51299DD71088}</author>
    <author>tc={5429C6ED-1DE9-41CF-9834-A3051CCFE6A8}</author>
    <author>tc={A91FE65C-BF96-4595-BF5F-4E78846976F1}</author>
    <author>tc={E5450AEF-3868-4447-90FC-B540E5B5ACE5}</author>
    <author>tc={1087D897-F6E6-4FF1-80B9-010464AA4554}</author>
    <author>tc={22577546-3D65-45B8-98D7-14D46949C5A3}</author>
    <author>tc={EBA9F6FD-8664-4C67-B53C-5B3F929D3C3C}</author>
    <author>tc={5151CA4B-F50D-48F4-A25D-B2522FFEA3D6}</author>
    <author>tc={60EC2CE7-98FE-4173-A9E8-B16AB0B8134C}</author>
    <author>tc={C09CF82C-E018-4A66-8E79-36E55CE5B1C9}</author>
    <author>tc={78407BD3-33C6-49E9-AB50-84AF2041FE6C}</author>
    <author>tc={8497B4A7-35D1-4B76-920E-F31AE172437C}</author>
    <author>tc={BADC1358-6869-4D47-9614-81D9F4753D79}</author>
    <author>tc={8A7AFA86-3B53-497E-9B37-20134A3EEDEC}</author>
    <author>tc={F450B7D3-8BBF-4BDF-A28E-F265460DC764}</author>
    <author>tc={80B5239E-63F2-49D2-9859-88A3952D8125}</author>
    <author>tc={C269692F-B4DA-41D9-A7FF-E52105E82B1A}</author>
    <author>tc={C96A0BFD-12D5-4B08-BC59-69D9563783CB}</author>
    <author>tc={79CB2D41-F90E-469A-AA34-5394608A957E}</author>
    <author>tc={1A89978B-3B56-4D85-B397-26108420BA56}</author>
    <author>tc={CC7FB781-E973-4FB4-95DD-5537DC62A491}</author>
    <author>tc={AF6282A9-AD8C-4C39-9278-CDD000BCE1BA}</author>
    <author>tc={135E40A5-D20F-4A63-B726-99D27060EFA1}</author>
    <author>tc={BD155DAD-DCEC-421E-9B40-57AAE4B3BD8C}</author>
    <author>tc={214FC36A-2CF6-4730-943F-F86C24F69092}</author>
    <author>tc={7A180FBE-F7F8-4084-A11A-92E4D7C89F28}</author>
    <author>tc={8C153518-30D9-45A8-B041-E5086AE071D4}</author>
    <author>tc={755EF971-A47E-491F-906E-75224729A82C}</author>
    <author>tc={D1BC2775-9481-4181-A981-4412028FB1E7}</author>
    <author>tc={F5714863-69B7-4FBB-B548-FF9E5D92E2E8}</author>
    <author>tc={32370F2E-FD8D-4A17-B536-E23A5F60196F}</author>
    <author>tc={225A16C7-C3F6-40FD-9870-45D066DF9884}</author>
    <author>tc={58104CB4-6244-405B-BF5E-01DE7B35F861}</author>
    <author>tc={773EF350-18E7-4F32-9318-5CC77DC96556}</author>
    <author>tc={F4FB0914-8C68-4017-92D9-DB312692B044}</author>
    <author>tc={2065F8B0-EFD1-4BB9-B948-1AFDFDA97365}</author>
    <author>tc={F91B0DD0-19B1-41AC-9120-855F4296D238}</author>
    <author>tc={549C917C-1D81-4942-B72F-56843EA483CA}</author>
  </authors>
  <commentList>
    <comment ref="C3" authorId="0" shapeId="0" xr:uid="{FC8FC37D-E675-480A-921E-DAE7224EDADC}">
      <text>
        <t>[Threaded comment]
Your version of Excel allows you to read this threaded comment; however, any edits to it will get removed if the file is opened in a newer version of Excel. Learn more: https://go.microsoft.com/fwlink/?linkid=870924
Comment:
    SR NO</t>
      </text>
    </comment>
    <comment ref="G3" authorId="1" shapeId="0" xr:uid="{B2E97C9C-5A6B-4E71-B716-1410828751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Type Of Security Interest </t>
      </text>
    </comment>
    <comment ref="I3" authorId="2" shapeId="0" xr:uid="{C7976435-BDF2-45E0-9F3C-DD0B2519A3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Type Of Finance </t>
      </text>
    </comment>
    <comment ref="J3" authorId="3" shapeId="0" xr:uid="{11C17718-3DFE-455F-B9C9-30CA32823A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 Creation Date </t>
      </text>
    </comment>
    <comment ref="K3" authorId="4" shapeId="0" xr:uid="{CAD728FB-DDF6-4AE6-A377-A4B0E66B1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Secured Amount </t>
      </text>
    </comment>
    <comment ref="L3" authorId="5" shapeId="0" xr:uid="{EAD620FD-18F9-4763-99A9-C344A6C9E2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Entity Identification Number </t>
      </text>
    </comment>
    <comment ref="N3" authorId="6" shapeId="0" xr:uid="{B3F9A3D9-887C-4AC2-8097-E1166E094B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Details Of Charge </t>
      </text>
    </comment>
    <comment ref="P3" authorId="7" shapeId="0" xr:uid="{45B613B4-156D-4620-AC2C-ABAE64E6BC5E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 NO</t>
      </text>
    </comment>
    <comment ref="D5" authorId="8" shapeId="0" xr:uid="{904A87E5-B116-4E49-83CA-915140B3DE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Immovable Category </t>
      </text>
    </comment>
    <comment ref="F5" authorId="9" shapeId="0" xr:uid="{6F3D4F03-2CE1-4110-8368-E673E85E58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Asset Type </t>
      </text>
    </comment>
    <comment ref="G5" authorId="10" shapeId="0" xr:uid="{36C4480B-FB1E-4EFF-9ADC-9B274AC5DF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 of the Asset</t>
      </text>
    </comment>
    <comment ref="H5" authorId="11" shapeId="0" xr:uid="{F415664E-F4EC-4256-B677-E14791DCA0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Number </t>
      </text>
    </comment>
    <comment ref="J5" authorId="12" shapeId="0" xr:uid="{BD00ADA8-9F29-4C51-874B-8F4A938F68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Unit No </t>
      </text>
    </comment>
    <comment ref="K5" authorId="13" shapeId="0" xr:uid="{D65B927B-279B-49B7-89A5-7A53D7DA34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Floor No. </t>
      </text>
    </comment>
    <comment ref="L5" authorId="14" shapeId="0" xr:uid="{9D68CD83-FDA2-41A5-9312-B00F050938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Area </t>
      </text>
    </comment>
    <comment ref="M5" authorId="15" shapeId="0" xr:uid="{1F2AF504-52F0-45C1-989A-FAFA161D6C00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Unit - As per master</t>
      </text>
    </comment>
    <comment ref="N5" authorId="16" shapeId="0" xr:uid="{16D8E26D-AA47-4137-BE3E-CBDB773302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Building (/ Tower) Name / Number </t>
      </text>
    </comment>
    <comment ref="O5" authorId="17" shapeId="0" xr:uid="{7DE5595B-2E3C-427A-9D7E-9779449313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Name of the Project / Scheme / Society </t>
      </text>
    </comment>
    <comment ref="P5" authorId="18" shapeId="0" xr:uid="{9FD5AB31-7387-4BBD-ADA6-78DD5503A7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Street Name / Number </t>
      </text>
    </comment>
    <comment ref="Q5" authorId="19" shapeId="0" xr:uid="{AE08DF84-D786-4964-A944-D09CAB6738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Pocket </t>
      </text>
    </comment>
    <comment ref="R5" authorId="20" shapeId="0" xr:uid="{08AF8BAE-A3C5-41E4-B7F5-E336F46D3B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Locality/ Sector </t>
      </text>
    </comment>
    <comment ref="S5" authorId="21" shapeId="0" xr:uid="{3B35385E-3889-47B2-BAB9-A384D7910893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</t>
      </text>
    </comment>
    <comment ref="T5" authorId="22" shapeId="0" xr:uid="{128E777C-0972-4DB7-9C8A-57EA48958CD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District</t>
      </text>
    </comment>
    <comment ref="U5" authorId="23" shapeId="0" xr:uid="{6E04F931-986D-4FBA-963F-BE066CFF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</t>
      </text>
    </comment>
    <comment ref="V5" authorId="24" shapeId="0" xr:uid="{EA9BA7B4-6FF7-4092-A068-1B456E878AA3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CODE</t>
      </text>
    </comment>
    <comment ref="W5" authorId="25" shapeId="0" xr:uid="{9F7BFFDE-325D-4EDF-A7AF-A06241FD53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COUNTRY</t>
      </text>
    </comment>
    <comment ref="E7" authorId="26" shapeId="0" xr:uid="{0E8EC431-7637-480D-A8A4-00E6C5887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PROPERTY OWNER Y-1 AND N-0</t>
      </text>
    </comment>
    <comment ref="H7" authorId="27" shapeId="0" xr:uid="{2C79DF54-79BB-457B-97C6-CF741530E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PAN NO</t>
      </text>
    </comment>
    <comment ref="I7" authorId="28" shapeId="0" xr:uid="{ADEFF5FB-B026-44C0-8E57-97D516F99106}">
      <text>
        <t>[Threaded comment]
Your version of Excel allows you to read this threaded comment; however, any edits to it will get removed if the file is opened in a newer version of Excel. Learn more: https://go.microsoft.com/fwlink/?linkid=870924
Comment:
    CKYC NO</t>
      </text>
    </comment>
    <comment ref="J7" authorId="29" shapeId="0" xr:uid="{68ECE317-40C7-4E17-B71C-51299DD710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</t>
      </text>
    </comment>
    <comment ref="K7" authorId="30" shapeId="0" xr:uid="{5429C6ED-1DE9-41CF-9834-A3051CCF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INCORPORATION DATE</t>
      </text>
    </comment>
    <comment ref="L7" authorId="31" shapeId="0" xr:uid="{A91FE65C-BF96-4595-BF5F-4E788469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Registration Number</t>
      </text>
    </comment>
    <comment ref="U7" authorId="32" shapeId="0" xr:uid="{E5450AEF-3868-4447-90FC-B540E5B5ACE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ADDRESS MIN 100 CHARACTER</t>
      </text>
    </comment>
    <comment ref="V7" authorId="33" shapeId="0" xr:uid="{1087D897-F6E6-4FF1-80B9-010464AA4554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</t>
      </text>
    </comment>
    <comment ref="W7" authorId="34" shapeId="0" xr:uid="{22577546-3D65-45B8-98D7-14D46949C5A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District</t>
      </text>
    </comment>
    <comment ref="X7" authorId="35" shapeId="0" xr:uid="{EBA9F6FD-8664-4C67-B53C-5B3F929D3C3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</t>
      </text>
    </comment>
    <comment ref="Y7" authorId="36" shapeId="0" xr:uid="{5151CA4B-F50D-48F4-A25D-B2522FFEA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CODE</t>
      </text>
    </comment>
    <comment ref="Z7" authorId="37" shapeId="0" xr:uid="{60EC2CE7-98FE-4173-A9E8-B16AB0B81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COUNTRY</t>
      </text>
    </comment>
    <comment ref="M9" authorId="38" shapeId="0" xr:uid="{C09CF82C-E018-4A66-8E79-36E55CE5B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PAN NO</t>
      </text>
    </comment>
    <comment ref="O9" authorId="39" shapeId="0" xr:uid="{78407BD3-33C6-49E9-AB50-84AF2041FE6C}">
      <text>
        <t>[Threaded comment]
Your version of Excel allows you to read this threaded comment; however, any edits to it will get removed if the file is opened in a newer version of Excel. Learn more: https://go.microsoft.com/fwlink/?linkid=870924
Comment:
    MALE OR FEMALE</t>
      </text>
    </comment>
    <comment ref="P9" authorId="40" shapeId="0" xr:uid="{8497B4A7-35D1-4B76-920E-F31AE17243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Name of the Borrower </t>
      </text>
    </comment>
    <comment ref="Q9" authorId="41" shapeId="0" xr:uid="{BADC1358-6869-4D47-9614-81D9F4753D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Father / Mother Name </t>
      </text>
    </comment>
    <comment ref="R9" authorId="42" shapeId="0" xr:uid="{8A7AFA86-3B53-497E-9B37-20134A3EEDEC}">
      <text>
        <t>[Threaded comment]
Your version of Excel allows you to read this threaded comment; however, any edits to it will get removed if the file is opened in a newer version of Excel. Learn more: https://go.microsoft.com/fwlink/?linkid=870924
Comment:
    DOB</t>
      </text>
    </comment>
    <comment ref="S9" authorId="43" shapeId="0" xr:uid="{F450B7D3-8BBF-4BDF-A28E-F265460DC764}">
      <text>
        <t>[Threaded comment]
Your version of Excel allows you to read this threaded comment; however, any edits to it will get removed if the file is opened in a newer version of Excel. Learn more: https://go.microsoft.com/fwlink/?linkid=870924
Comment:
    MOB NO</t>
      </text>
    </comment>
    <comment ref="T9" authorId="44" shapeId="0" xr:uid="{80B5239E-63F2-49D2-9859-88A3952D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E-MAIL ID</t>
      </text>
    </comment>
    <comment ref="U9" authorId="45" shapeId="0" xr:uid="{C269692F-B4DA-41D9-A7FF-E52105E82B1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ADDRESS MIN 100 CHARACTER</t>
      </text>
    </comment>
    <comment ref="V9" authorId="46" shapeId="0" xr:uid="{C96A0BFD-12D5-4B08-BC59-69D95637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</t>
      </text>
    </comment>
    <comment ref="W9" authorId="47" shapeId="0" xr:uid="{79CB2D41-F90E-469A-AA34-5394608A957E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District</t>
      </text>
    </comment>
    <comment ref="X9" authorId="48" shapeId="0" xr:uid="{1A89978B-3B56-4D85-B397-26108420B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</t>
      </text>
    </comment>
    <comment ref="Y9" authorId="49" shapeId="0" xr:uid="{CC7FB781-E973-4FB4-95DD-5537DC62A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CODE</t>
      </text>
    </comment>
    <comment ref="Z9" authorId="50" shapeId="0" xr:uid="{AF6282A9-AD8C-4C39-9278-CDD000BC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COUNTRY</t>
      </text>
    </comment>
    <comment ref="M11" authorId="51" shapeId="0" xr:uid="{135E40A5-D20F-4A63-B726-99D27060EFA1}">
      <text>
        <t>[Threaded comment]
Your version of Excel allows you to read this threaded comment; however, any edits to it will get removed if the file is opened in a newer version of Excel. Learn more: https://go.microsoft.com/fwlink/?linkid=870924
Comment:
    PAN NO</t>
      </text>
    </comment>
    <comment ref="O11" authorId="52" shapeId="0" xr:uid="{BD155DAD-DCEC-421E-9B40-57AAE4B3BD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MALE OR FEMALE</t>
      </text>
    </comment>
    <comment ref="Q11" authorId="53" shapeId="0" xr:uid="{214FC36A-2CF6-4730-943F-F86C24F69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Father / Mother Name 
</t>
      </text>
    </comment>
    <comment ref="R11" authorId="54" shapeId="0" xr:uid="{7A180FBE-F7F8-4084-A11A-92E4D7C89F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DOB</t>
      </text>
    </comment>
    <comment ref="T11" authorId="55" shapeId="0" xr:uid="{8C153518-30D9-45A8-B041-E5086AE071D4}">
      <text>
        <t>[Threaded comment]
Your version of Excel allows you to read this threaded comment; however, any edits to it will get removed if the file is opened in a newer version of Excel. Learn more: https://go.microsoft.com/fwlink/?linkid=870924
Comment:
    E-MAIL ID</t>
      </text>
    </comment>
    <comment ref="U11" authorId="56" shapeId="0" xr:uid="{755EF971-A47E-491F-906E-75224729A82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ADDRESS MIN 100 CHARACTER</t>
      </text>
    </comment>
    <comment ref="V11" authorId="57" shapeId="0" xr:uid="{D1BC2775-9481-4181-A981-4412028FB1E7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</t>
      </text>
    </comment>
    <comment ref="W11" authorId="58" shapeId="0" xr:uid="{F5714863-69B7-4FBB-B548-FF9E5D92E2E8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District</t>
      </text>
    </comment>
    <comment ref="X11" authorId="59" shapeId="0" xr:uid="{32370F2E-FD8D-4A17-B536-E23A5F6019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</t>
      </text>
    </comment>
    <comment ref="Y11" authorId="60" shapeId="0" xr:uid="{225A16C7-C3F6-40FD-9870-45D066DF9884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CODE</t>
      </text>
    </comment>
    <comment ref="Z11" authorId="61" shapeId="0" xr:uid="{58104CB4-6244-405B-BF5E-01DE7B35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COUNTRY</t>
      </text>
    </comment>
    <comment ref="N13" authorId="62" shapeId="0" xr:uid="{773EF350-18E7-4F32-9318-5CC77DC96556}">
      <text>
        <t>[Threaded comment]
Your version of Excel allows you to read this threaded comment; however, any edits to it will get removed if the file is opened in a newer version of Excel. Learn more: https://go.microsoft.com/fwlink/?linkid=870924
Comment:
    CITY</t>
      </text>
    </comment>
    <comment ref="O13" authorId="63" shapeId="0" xr:uid="{F4FB0914-8C68-4017-92D9-DB312692B04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District</t>
      </text>
    </comment>
    <comment ref="P13" authorId="64" shapeId="0" xr:uid="{2065F8B0-EFD1-4BB9-B948-1AFDFDA973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</t>
      </text>
    </comment>
    <comment ref="Q13" authorId="65" shapeId="0" xr:uid="{F91B0DD0-19B1-41AC-9120-855F4296D238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CODE</t>
      </text>
    </comment>
    <comment ref="R13" authorId="66" shapeId="0" xr:uid="{549C917C-1D81-4942-B72F-56843EA483C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COUNTRY</t>
      </text>
    </comment>
  </commentList>
</comments>
</file>

<file path=xl/sharedStrings.xml><?xml version="1.0" encoding="utf-8"?>
<sst xmlns="http://schemas.openxmlformats.org/spreadsheetml/2006/main" count="60" uniqueCount="39">
  <si>
    <t>FH</t>
  </si>
  <si>
    <t>SI_REGN</t>
  </si>
  <si>
    <t>01-09-2026</t>
  </si>
  <si>
    <t>YYY-MM-DD</t>
  </si>
  <si>
    <t>SI</t>
  </si>
  <si>
    <t>07-01-2026</t>
  </si>
  <si>
    <t>APPL00027326COLL00266688</t>
  </si>
  <si>
    <t>NA</t>
  </si>
  <si>
    <t>FIRST CHARGE</t>
  </si>
  <si>
    <t>BATCH_2026-01-09</t>
  </si>
  <si>
    <t>IMM</t>
  </si>
  <si>
    <t>COMMERCIAL UNIT</t>
  </si>
  <si>
    <t>CTS No 156/A/7/1pt</t>
  </si>
  <si>
    <t>Yashodham Business CSL</t>
  </si>
  <si>
    <t>YashodhamNrRoyalChallengeRestaurantAbaKarmarkarRd</t>
  </si>
  <si>
    <t>Dindoshi Goregaon East Mumbai</t>
  </si>
  <si>
    <t>10680</t>
  </si>
  <si>
    <t>IND</t>
  </si>
  <si>
    <t>BOR</t>
  </si>
  <si>
    <t>COM</t>
  </si>
  <si>
    <t>ABJFS1083R</t>
  </si>
  <si>
    <t>CKYC NO</t>
  </si>
  <si>
    <t>Samcon Builders</t>
  </si>
  <si>
    <t>Registration Number</t>
  </si>
  <si>
    <t>Office No 20 Yashodham Shopping Centre 1st Floor Above HDFC Bank Goregaon East Mumbai 400063</t>
  </si>
  <si>
    <t>ABLPB4977B</t>
  </si>
  <si>
    <t>M</t>
  </si>
  <si>
    <t>Vijay Dattajirao Bhosale</t>
  </si>
  <si>
    <t>Dattajirao Bhosale</t>
  </si>
  <si>
    <t>9820302743</t>
  </si>
  <si>
    <t>Email</t>
  </si>
  <si>
    <t>Flat No A/602 Rukmini Vaibhav CHS Ltd Veera Desai Road Azad Nagar Road No 3 Andheri West Mumbai 400058</t>
  </si>
  <si>
    <t>AFMPM1762L</t>
  </si>
  <si>
    <t>RAJARAM R MASANE</t>
  </si>
  <si>
    <t>R MASANE</t>
  </si>
  <si>
    <t>112 Raag Tower Megh Malhar Complex Nr Royal Challenge Hotel Goregaon East Mumbai 400063</t>
  </si>
  <si>
    <t>CHG</t>
  </si>
  <si>
    <t>ANANDRATHI GLOBAL FINANCE LIMITED</t>
  </si>
  <si>
    <t>Express Zone B Wing 5th Floor Western Express Highway Opp Oberoi Mall Malad East Mumbai 400063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</si>
</sst>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Aptos Narrow"/>
      <family val="2"/>
      <scheme val="minor"/>
    </font>
    <font>
      <sz val="11"/>
      <name val="Dialog"/>
    </font>
    <font>
      <sz val="9"/>
      <color indexed="8"/>
      <name val="Helvetica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right" vertical="center" wrapText="1"/>
    </xf>
    <xf numFmtId="164" fontId="0" fillId="2" borderId="0" xfId="0" applyNumberFormat="1" applyFill="1"/>
    <xf numFmtId="0" fontId="3" fillId="2" borderId="0" xfId="0" applyFont="1" applyFill="1" applyAlignment="1">
      <alignment horizontal="left" vertical="center"/>
    </xf>
    <xf numFmtId="0" fontId="0" fillId="0" borderId="1" xfId="0" applyBorder="1"/>
    <xf numFmtId="49" fontId="0" fillId="2" borderId="0" xfId="0" applyNumberFormat="1" applyFill="1"/>
    <xf numFmtId="1" fontId="0" fillId="2" borderId="0" xfId="0" applyNumberForma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tish Pujare" id="{55BB1021-FD70-4534-BF63-EC69036B9556}" userId="S::satishpujare@rathi.com::a3eba34d-ce9a-442d-8de1-e5089156e2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8-31T17:56:31.09" personId="{55BB1021-FD70-4534-BF63-EC69036B9556}" id="{FC8FC37D-E675-480A-921E-DAE7224EDADC}">
    <text>SR NO</text>
  </threadedComment>
  <threadedComment ref="G3" dT="2026-08-31T19:38:41.46" personId="{55BB1021-FD70-4534-BF63-EC69036B9556}" id="{B2E97C9C-5A6B-4E71-B716-1410828751E4}">
    <text xml:space="preserve">Type Of Security Interest </text>
  </threadedComment>
  <threadedComment ref="I3" dT="2026-08-31T19:39:42.49" personId="{55BB1021-FD70-4534-BF63-EC69036B9556}" id="{C7976435-BDF2-45E0-9F3C-DD0B2519A338}">
    <text xml:space="preserve">Type Of Finance </text>
  </threadedComment>
  <threadedComment ref="J3" dT="2026-08-31T19:40:28.83" personId="{55BB1021-FD70-4534-BF63-EC69036B9556}" id="{11C17718-3DFE-455F-B9C9-30CA32823A38}">
    <text xml:space="preserve">SI Creation Date </text>
  </threadedComment>
  <threadedComment ref="K3" dT="2026-08-31T19:43:05.78" personId="{55BB1021-FD70-4534-BF63-EC69036B9556}" id="{CAD728FB-DDF6-4AE6-A377-A4B0E66B180A}">
    <text xml:space="preserve">Total Secured Amount </text>
  </threadedComment>
  <threadedComment ref="L3" dT="2026-08-31T19:44:36.66" personId="{55BB1021-FD70-4534-BF63-EC69036B9556}" id="{EAD620FD-18F9-4763-99A9-C344A6C9E236}">
    <text xml:space="preserve">Entity Identification Number </text>
  </threadedComment>
  <threadedComment ref="N3" dT="2026-08-31T19:46:07.55" personId="{55BB1021-FD70-4534-BF63-EC69036B9556}" id="{B3F9A3D9-887C-4AC2-8097-E1166E094B3A}">
    <text xml:space="preserve">Details Of Charge </text>
  </threadedComment>
  <threadedComment ref="P3" dT="2026-08-31T19:46:48.82" personId="{55BB1021-FD70-4534-BF63-EC69036B9556}" id="{45B613B4-156D-4620-AC2C-ABAE64E6BC5E}">
    <text>BATCH NO</text>
  </threadedComment>
  <threadedComment ref="D5" dT="2026-08-31T18:41:27.64" personId="{55BB1021-FD70-4534-BF63-EC69036B9556}" id="{904A87E5-B116-4E49-83CA-915140B3DEA0}">
    <text xml:space="preserve">Immovable Category </text>
  </threadedComment>
  <threadedComment ref="F5" dT="2026-08-31T18:41:40.52" personId="{55BB1021-FD70-4534-BF63-EC69036B9556}" id="{6F3D4F03-2CE1-4110-8368-E673E85E58EF}">
    <text xml:space="preserve">Asset Type </text>
  </threadedComment>
  <threadedComment ref="G5" dT="2026-08-31T18:43:34.52" personId="{55BB1021-FD70-4534-BF63-EC69036B9556}" id="{36C4480B-FB1E-4EFF-9ADC-9B274AC5DFF7}">
    <text>Description of the Asset</text>
  </threadedComment>
  <threadedComment ref="H5" dT="2026-08-31T18:46:37.30" personId="{55BB1021-FD70-4534-BF63-EC69036B9556}" id="{F415664E-F4EC-4256-B677-E14791DCA0C0}">
    <text xml:space="preserve">Survey Number </text>
  </threadedComment>
  <threadedComment ref="J5" dT="2026-08-31T18:47:18.04" personId="{55BB1021-FD70-4534-BF63-EC69036B9556}" id="{BD00ADA8-9F29-4C51-874B-8F4A938F680C}">
    <text xml:space="preserve">Unit No </text>
  </threadedComment>
  <threadedComment ref="K5" dT="2026-08-31T18:47:28.62" personId="{55BB1021-FD70-4534-BF63-EC69036B9556}" id="{D65B927B-279B-49B7-89A5-7A53D7DA34FD}">
    <text xml:space="preserve">Floor No. </text>
  </threadedComment>
  <threadedComment ref="L5" dT="2026-08-31T18:49:01.30" personId="{55BB1021-FD70-4534-BF63-EC69036B9556}" id="{9D68CD83-FDA2-41A5-9312-B00F05093805}">
    <text xml:space="preserve">Area </text>
  </threadedComment>
  <threadedComment ref="M5" dT="2026-08-31T18:49:30.64" personId="{55BB1021-FD70-4534-BF63-EC69036B9556}" id="{1F2AF504-52F0-45C1-989A-FAFA161D6C00}">
    <text>Area Unit - As per master</text>
  </threadedComment>
  <threadedComment ref="N5" dT="2026-08-31T18:50:54.18" personId="{55BB1021-FD70-4534-BF63-EC69036B9556}" id="{16D8E26D-AA47-4137-BE3E-CBDB77330290}">
    <text xml:space="preserve">Building (/ Tower) Name / Number </text>
  </threadedComment>
  <threadedComment ref="O5" dT="2026-08-31T18:51:10.75" personId="{55BB1021-FD70-4534-BF63-EC69036B9556}" id="{7DE5595B-2E3C-427A-9D7E-977944931343}">
    <text xml:space="preserve">Name of the Project / Scheme / Society </text>
  </threadedComment>
  <threadedComment ref="P5" dT="2026-08-31T18:51:23.00" personId="{55BB1021-FD70-4534-BF63-EC69036B9556}" id="{9FD5AB31-7387-4BBD-ADA6-78DD5503A77A}">
    <text xml:space="preserve">Street Name / Number </text>
  </threadedComment>
  <threadedComment ref="Q5" dT="2026-08-31T18:51:47.32" personId="{55BB1021-FD70-4534-BF63-EC69036B9556}" id="{AE08DF84-D786-4964-A944-D09CAB673811}">
    <text xml:space="preserve">Pocket </text>
  </threadedComment>
  <threadedComment ref="R5" dT="2026-08-31T18:52:08.23" personId="{55BB1021-FD70-4534-BF63-EC69036B9556}" id="{08AF8BAE-A3C5-41E4-B7F5-E336F46D3B33}">
    <text xml:space="preserve">Locality/ Sector </text>
  </threadedComment>
  <threadedComment ref="S5" dT="2026-08-31T18:17:35.76" personId="{55BB1021-FD70-4534-BF63-EC69036B9556}" id="{3B35385E-3889-47B2-BAB9-A384D7910893}">
    <text>CITY</text>
  </threadedComment>
  <threadedComment ref="T5" dT="2026-08-31T18:35:50.67" personId="{55BB1021-FD70-4534-BF63-EC69036B9556}" id="{128E777C-0972-4DB7-9C8A-57EA48958CD4}">
    <text>District</text>
  </threadedComment>
  <threadedComment ref="U5" dT="2026-08-31T18:36:10.66" personId="{55BB1021-FD70-4534-BF63-EC69036B9556}" id="{6E04F931-986D-4FBA-963F-BE066CFF35FE}">
    <text>STATE</text>
  </threadedComment>
  <threadedComment ref="V5" dT="2026-08-31T18:36:22.84" personId="{55BB1021-FD70-4534-BF63-EC69036B9556}" id="{EA9BA7B4-6FF7-4092-A068-1B456E878AA3}">
    <text>PIN CODE</text>
  </threadedComment>
  <threadedComment ref="W5" dT="2026-08-31T18:36:42.41" personId="{55BB1021-FD70-4534-BF63-EC69036B9556}" id="{9F7BFFDE-325D-4EDF-A7AF-A06241FD530A}">
    <text>COUNTRY</text>
  </threadedComment>
  <threadedComment ref="E7" dT="2026-08-31T19:01:01.95" personId="{55BB1021-FD70-4534-BF63-EC69036B9556}" id="{0E8EC431-7637-480D-A8A4-00E6C5887D05}">
    <text>PROPERTY OWNER Y-1 AND N-0</text>
  </threadedComment>
  <threadedComment ref="H7" dT="2026-08-31T19:03:11.68" personId="{55BB1021-FD70-4534-BF63-EC69036B9556}" id="{2C79DF54-79BB-457B-97C6-CF741530ECDB}">
    <text>PAN NO</text>
  </threadedComment>
  <threadedComment ref="I7" dT="2026-08-31T19:03:29.41" personId="{55BB1021-FD70-4534-BF63-EC69036B9556}" id="{ADEFF5FB-B026-44C0-8E57-97D516F99106}">
    <text>CKYC NO</text>
  </threadedComment>
  <threadedComment ref="J7" dT="2026-08-31T19:04:58.27" personId="{55BB1021-FD70-4534-BF63-EC69036B9556}" id="{68ECE317-40C7-4E17-B71C-51299DD71088}">
    <text>NAME</text>
  </threadedComment>
  <threadedComment ref="K7" dT="2026-08-31T19:05:20.14" personId="{55BB1021-FD70-4534-BF63-EC69036B9556}" id="{5429C6ED-1DE9-41CF-9834-A3051CCFE6A8}">
    <text>INCORPORATION DATE</text>
  </threadedComment>
  <threadedComment ref="L7" dT="2026-08-31T19:09:36.90" personId="{55BB1021-FD70-4534-BF63-EC69036B9556}" id="{A91FE65C-BF96-4595-BF5F-4E78846976F1}">
    <text>Registration Number</text>
  </threadedComment>
  <threadedComment ref="U7" dT="2026-08-31T19:11:23.78" personId="{55BB1021-FD70-4534-BF63-EC69036B9556}" id="{E5450AEF-3868-4447-90FC-B540E5B5ACE5}">
    <text>ADDRESS MIN 100 CHARACTER</text>
  </threadedComment>
  <threadedComment ref="V7" dT="2026-08-31T18:17:35.76" personId="{55BB1021-FD70-4534-BF63-EC69036B9556}" id="{1087D897-F6E6-4FF1-80B9-010464AA4554}">
    <text>CITY</text>
  </threadedComment>
  <threadedComment ref="W7" dT="2026-08-31T18:35:50.67" personId="{55BB1021-FD70-4534-BF63-EC69036B9556}" id="{22577546-3D65-45B8-98D7-14D46949C5A3}">
    <text>District</text>
  </threadedComment>
  <threadedComment ref="X7" dT="2026-08-31T18:36:10.66" personId="{55BB1021-FD70-4534-BF63-EC69036B9556}" id="{EBA9F6FD-8664-4C67-B53C-5B3F929D3C3C}">
    <text>STATE</text>
  </threadedComment>
  <threadedComment ref="Y7" dT="2026-08-31T18:36:22.84" personId="{55BB1021-FD70-4534-BF63-EC69036B9556}" id="{5151CA4B-F50D-48F4-A25D-B2522FFEA3D6}">
    <text>PIN CODE</text>
  </threadedComment>
  <threadedComment ref="Z7" dT="2026-08-31T18:36:42.41" personId="{55BB1021-FD70-4534-BF63-EC69036B9556}" id="{60EC2CE7-98FE-4173-A9E8-B16AB0B8134C}">
    <text>COUNTRY</text>
  </threadedComment>
  <threadedComment ref="M9" dT="2026-08-31T19:16:21.37" personId="{55BB1021-FD70-4534-BF63-EC69036B9556}" id="{C09CF82C-E018-4A66-8E79-36E55CE5B1C9}">
    <text>PAN NO</text>
  </threadedComment>
  <threadedComment ref="O9" dT="2026-08-31T19:16:51.46" personId="{55BB1021-FD70-4534-BF63-EC69036B9556}" id="{78407BD3-33C6-49E9-AB50-84AF2041FE6C}">
    <text>MALE OR FEMALE</text>
  </threadedComment>
  <threadedComment ref="P9" dT="2026-08-31T19:18:15.06" personId="{55BB1021-FD70-4534-BF63-EC69036B9556}" id="{8497B4A7-35D1-4B76-920E-F31AE172437C}">
    <text xml:space="preserve">Name of the Borrower </text>
  </threadedComment>
  <threadedComment ref="Q9" dT="2026-08-31T19:18:29.95" personId="{55BB1021-FD70-4534-BF63-EC69036B9556}" id="{BADC1358-6869-4D47-9614-81D9F4753D79}">
    <text xml:space="preserve">Father / Mother Name </text>
  </threadedComment>
  <threadedComment ref="R9" dT="2026-08-31T19:26:36.72" personId="{55BB1021-FD70-4534-BF63-EC69036B9556}" id="{8A7AFA86-3B53-497E-9B37-20134A3EEDEC}">
    <text>DOB</text>
  </threadedComment>
  <threadedComment ref="S9" dT="2026-08-31T19:20:08.32" personId="{55BB1021-FD70-4534-BF63-EC69036B9556}" id="{F450B7D3-8BBF-4BDF-A28E-F265460DC764}">
    <text>MOB NO</text>
  </threadedComment>
  <threadedComment ref="T9" dT="2026-08-31T19:22:30.43" personId="{55BB1021-FD70-4534-BF63-EC69036B9556}" id="{80B5239E-63F2-49D2-9859-88A3952D8125}">
    <text>E-MAIL ID</text>
  </threadedComment>
  <threadedComment ref="U9" dT="2026-08-31T19:20:48.45" personId="{55BB1021-FD70-4534-BF63-EC69036B9556}" id="{C269692F-B4DA-41D9-A7FF-E52105E82B1A}">
    <text>ADDRESS MIN 100 CHARACTER</text>
  </threadedComment>
  <threadedComment ref="V9" dT="2026-08-31T18:17:35.76" personId="{55BB1021-FD70-4534-BF63-EC69036B9556}" id="{C96A0BFD-12D5-4B08-BC59-69D9563783CB}">
    <text>CITY</text>
  </threadedComment>
  <threadedComment ref="W9" dT="2026-08-31T18:35:50.67" personId="{55BB1021-FD70-4534-BF63-EC69036B9556}" id="{79CB2D41-F90E-469A-AA34-5394608A957E}">
    <text>District</text>
  </threadedComment>
  <threadedComment ref="X9" dT="2026-08-31T18:36:10.66" personId="{55BB1021-FD70-4534-BF63-EC69036B9556}" id="{1A89978B-3B56-4D85-B397-26108420BA56}">
    <text>STATE</text>
  </threadedComment>
  <threadedComment ref="Y9" dT="2026-08-31T18:36:22.84" personId="{55BB1021-FD70-4534-BF63-EC69036B9556}" id="{CC7FB781-E973-4FB4-95DD-5537DC62A491}">
    <text>PIN CODE</text>
  </threadedComment>
  <threadedComment ref="Z9" dT="2026-08-31T18:36:42.41" personId="{55BB1021-FD70-4534-BF63-EC69036B9556}" id="{AF6282A9-AD8C-4C39-9278-CDD000BCE1BA}">
    <text>COUNTRY</text>
  </threadedComment>
  <threadedComment ref="M11" dT="2026-08-31T19:25:23.72" personId="{55BB1021-FD70-4534-BF63-EC69036B9556}" id="{135E40A5-D20F-4A63-B726-99D27060EFA1}">
    <text>PAN NO</text>
  </threadedComment>
  <threadedComment ref="O11" dT="2026-08-31T19:25:40.89" personId="{55BB1021-FD70-4534-BF63-EC69036B9556}" id="{BD155DAD-DCEC-421E-9B40-57AAE4B3BD8C}">
    <text>MALE OR FEMALE</text>
  </threadedComment>
  <threadedComment ref="Q11" dT="2026-08-31T19:26:14.21" personId="{55BB1021-FD70-4534-BF63-EC69036B9556}" id="{214FC36A-2CF6-4730-943F-F86C24F69092}">
    <text xml:space="preserve">Father / Mother Name 
</text>
  </threadedComment>
  <threadedComment ref="R11" dT="2026-08-31T19:26:43.27" personId="{55BB1021-FD70-4534-BF63-EC69036B9556}" id="{7A180FBE-F7F8-4084-A11A-92E4D7C89F28}">
    <text>DOB</text>
  </threadedComment>
  <threadedComment ref="T11" dT="2026-08-31T19:22:30.43" personId="{55BB1021-FD70-4534-BF63-EC69036B9556}" id="{8C153518-30D9-45A8-B041-E5086AE071D4}">
    <text>E-MAIL ID</text>
  </threadedComment>
  <threadedComment ref="U11" dT="2026-08-31T19:29:46.42" personId="{55BB1021-FD70-4534-BF63-EC69036B9556}" id="{755EF971-A47E-491F-906E-75224729A82C}">
    <text>ADDRESS MIN 100 CHARACTER</text>
  </threadedComment>
  <threadedComment ref="V11" dT="2026-08-31T18:17:35.76" personId="{55BB1021-FD70-4534-BF63-EC69036B9556}" id="{D1BC2775-9481-4181-A981-4412028FB1E7}">
    <text>CITY</text>
  </threadedComment>
  <threadedComment ref="W11" dT="2026-08-31T18:35:50.67" personId="{55BB1021-FD70-4534-BF63-EC69036B9556}" id="{F5714863-69B7-4FBB-B548-FF9E5D92E2E8}">
    <text>District</text>
  </threadedComment>
  <threadedComment ref="X11" dT="2026-08-31T18:36:10.66" personId="{55BB1021-FD70-4534-BF63-EC69036B9556}" id="{32370F2E-FD8D-4A17-B536-E23A5F60196F}">
    <text>STATE</text>
  </threadedComment>
  <threadedComment ref="Y11" dT="2026-08-31T18:36:22.84" personId="{55BB1021-FD70-4534-BF63-EC69036B9556}" id="{225A16C7-C3F6-40FD-9870-45D066DF9884}">
    <text>PIN CODE</text>
  </threadedComment>
  <threadedComment ref="Z11" dT="2026-08-31T18:36:42.41" personId="{55BB1021-FD70-4534-BF63-EC69036B9556}" id="{58104CB4-6244-405B-BF5E-01DE7B35F861}">
    <text>COUNTRY</text>
  </threadedComment>
  <threadedComment ref="N13" dT="2026-08-31T18:17:35.76" personId="{55BB1021-FD70-4534-BF63-EC69036B9556}" id="{773EF350-18E7-4F32-9318-5CC77DC96556}">
    <text>CITY</text>
  </threadedComment>
  <threadedComment ref="O13" dT="2026-08-31T18:35:50.67" personId="{55BB1021-FD70-4534-BF63-EC69036B9556}" id="{F4FB0914-8C68-4017-92D9-DB312692B044}">
    <text>District</text>
  </threadedComment>
  <threadedComment ref="P13" dT="2026-08-31T18:36:10.66" personId="{55BB1021-FD70-4534-BF63-EC69036B9556}" id="{2065F8B0-EFD1-4BB9-B948-1AFDFDA97365}">
    <text>STATE</text>
  </threadedComment>
  <threadedComment ref="Q13" dT="2026-08-31T18:36:22.84" personId="{55BB1021-FD70-4534-BF63-EC69036B9556}" id="{F91B0DD0-19B1-41AC-9120-855F4296D238}">
    <text>PIN CODE</text>
  </threadedComment>
  <threadedComment ref="R13" dT="2026-08-31T18:36:42.41" personId="{55BB1021-FD70-4534-BF63-EC69036B9556}" id="{549C917C-1D81-4942-B72F-56843EA483CA}">
    <text>COUNTRY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CFC3-4B33-446E-887E-2E0949D285E5}">
  <dimension ref="A1:Z20"/>
  <sheetViews>
    <sheetView tabSelected="1" topLeftCell="V1" workbookViewId="0">
      <selection activeCell="P11" sqref="P11"/>
    </sheetView>
  </sheetViews>
  <sheetFormatPr defaultRowHeight="14.45"/>
  <cols>
    <col min="1" max="1" width="215.42578125" customWidth="1"/>
    <col min="2" max="2" width="4.85546875" bestFit="1" customWidth="1"/>
    <col min="3" max="3" width="8" bestFit="1" customWidth="1"/>
    <col min="4" max="4" width="34.140625" bestFit="1" customWidth="1"/>
    <col min="5" max="5" width="98.85546875" bestFit="1" customWidth="1"/>
    <col min="6" max="6" width="16.5703125" bestFit="1" customWidth="1"/>
    <col min="7" max="7" width="16.85546875" bestFit="1" customWidth="1"/>
    <col min="8" max="8" width="11" bestFit="1" customWidth="1"/>
    <col min="9" max="9" width="13.42578125" customWidth="1"/>
    <col min="10" max="10" width="14.5703125" bestFit="1" customWidth="1"/>
    <col min="11" max="11" width="20.140625" customWidth="1"/>
    <col min="12" max="12" width="26" bestFit="1" customWidth="1"/>
    <col min="13" max="13" width="17.7109375" bestFit="1" customWidth="1"/>
    <col min="14" max="14" width="21.7109375" bestFit="1" customWidth="1"/>
    <col min="15" max="15" width="48.28515625" bestFit="1" customWidth="1"/>
    <col min="16" max="16" width="39.42578125" customWidth="1"/>
    <col min="17" max="17" width="27.28515625" bestFit="1" customWidth="1"/>
    <col min="18" max="18" width="36.85546875" customWidth="1"/>
    <col min="19" max="19" width="11" bestFit="1" customWidth="1"/>
    <col min="20" max="20" width="34.140625" customWidth="1"/>
    <col min="21" max="21" width="112.7109375" customWidth="1"/>
    <col min="22" max="22" width="83.140625" bestFit="1" customWidth="1"/>
    <col min="23" max="23" width="7" bestFit="1" customWidth="1"/>
    <col min="24" max="24" width="5.28515625" bestFit="1" customWidth="1"/>
    <col min="25" max="25" width="42.42578125" customWidth="1"/>
    <col min="26" max="26" width="6.140625" bestFit="1" customWidth="1"/>
    <col min="27" max="27" width="4" bestFit="1" customWidth="1"/>
  </cols>
  <sheetData>
    <row r="1" spans="1:26" s="2" customFormat="1">
      <c r="A1" s="6" t="str">
        <f>B1&amp;"|"&amp;C1&amp;"|"&amp;D1&amp;"|"&amp;E1&amp;"|"</f>
        <v>FH|SI_REGN|1|01-09-2026|</v>
      </c>
      <c r="B1" s="2" t="s">
        <v>0</v>
      </c>
      <c r="C1" s="2" t="s">
        <v>1</v>
      </c>
      <c r="D1" s="2">
        <v>1</v>
      </c>
      <c r="E1" s="4" t="s">
        <v>2</v>
      </c>
      <c r="F1" s="2" t="s">
        <v>3</v>
      </c>
    </row>
    <row r="2" spans="1:26">
      <c r="E2" s="1"/>
      <c r="J2" t="s">
        <v>3</v>
      </c>
    </row>
    <row r="3" spans="1:26" s="2" customFormat="1">
      <c r="A3" s="6" t="str">
        <f>B3&amp;"|"&amp;C3&amp;"|"&amp;D3&amp;"|"&amp;E3&amp;"|"&amp;F3&amp;"|"&amp;G3&amp;"|"&amp;H3&amp;"|"&amp;I3&amp;"|"&amp;J3&amp;"|"&amp;K3&amp;"|"&amp;L3&amp;"|"&amp;M3&amp;"|"&amp;N3&amp;"|"&amp;O3&amp;"|"&amp;P3&amp;""</f>
        <v>SI|1|2|0|0|17||1|07-01-2026|8800000|APPL00027326COLL00266688|NA|FIRST CHARGE|0|BATCH_2026-01-09</v>
      </c>
      <c r="B3" s="2" t="s">
        <v>4</v>
      </c>
      <c r="C3" s="2">
        <v>1</v>
      </c>
      <c r="D3" s="2">
        <v>2</v>
      </c>
      <c r="E3" s="2">
        <v>0</v>
      </c>
      <c r="F3" s="2">
        <v>0</v>
      </c>
      <c r="G3" s="8">
        <v>17</v>
      </c>
      <c r="H3" s="9"/>
      <c r="I3" s="2">
        <v>1</v>
      </c>
      <c r="J3" s="7" t="s">
        <v>5</v>
      </c>
      <c r="K3" s="9">
        <v>8800000</v>
      </c>
      <c r="L3" s="2" t="s">
        <v>6</v>
      </c>
      <c r="M3" s="2" t="s">
        <v>7</v>
      </c>
      <c r="N3" s="2" t="s">
        <v>8</v>
      </c>
      <c r="O3" s="2">
        <v>0</v>
      </c>
      <c r="P3" s="2" t="s">
        <v>9</v>
      </c>
    </row>
    <row r="5" spans="1:26" s="2" customFormat="1">
      <c r="A5" s="6" t="str">
        <f>B5&amp;"|"&amp;C5&amp;"|"&amp;D5&amp;"|"&amp;E5&amp;"|"&amp;F5&amp;"|"&amp;G5&amp;"|"&amp;H5&amp;"|"&amp;I5&amp;"|"&amp;J5&amp;"|"&amp;K5&amp;"|"&amp;L5&amp;"|"&amp;M5&amp;"|"&amp;N5&amp;"|"&amp;O5&amp;"|"&amp;P5&amp;"|"&amp;Q5&amp;"|"&amp;R5&amp;"|"&amp;S5&amp;"|"&amp;T5&amp;"|"&amp;U5&amp;"|"&amp;V5&amp;"|"&amp;W5&amp;""</f>
        <v>IMM|1|2||2|COMMERCIAL UNIT|CTS No 156/A/7/1pt|NA|21|1|600|6|NA|Yashodham Business CSL|YashodhamNrRoyalChallengeRestaurantAbaKarmarkarRd|NA|Dindoshi Goregaon East Mumbai|187602|10680|21|400063|IND</v>
      </c>
      <c r="B5" s="2" t="s">
        <v>10</v>
      </c>
      <c r="C5" s="2">
        <v>1</v>
      </c>
      <c r="D5" s="2">
        <v>2</v>
      </c>
      <c r="F5" s="2">
        <v>2</v>
      </c>
      <c r="G5" s="2" t="s">
        <v>11</v>
      </c>
      <c r="H5" s="2" t="s">
        <v>12</v>
      </c>
      <c r="I5" s="2" t="s">
        <v>7</v>
      </c>
      <c r="J5" s="2">
        <v>21</v>
      </c>
      <c r="K5" s="2">
        <v>1</v>
      </c>
      <c r="L5" s="2">
        <v>600</v>
      </c>
      <c r="M5" s="2">
        <v>6</v>
      </c>
      <c r="N5" s="2" t="s">
        <v>7</v>
      </c>
      <c r="O5" s="2" t="s">
        <v>13</v>
      </c>
      <c r="P5" s="2" t="s">
        <v>14</v>
      </c>
      <c r="Q5" s="2" t="s">
        <v>7</v>
      </c>
      <c r="R5" s="2" t="s">
        <v>15</v>
      </c>
      <c r="S5" s="2">
        <v>187602</v>
      </c>
      <c r="T5" s="3" t="s">
        <v>16</v>
      </c>
      <c r="U5" s="2">
        <v>21</v>
      </c>
      <c r="V5" s="3">
        <v>400063</v>
      </c>
      <c r="W5" s="2" t="s">
        <v>17</v>
      </c>
    </row>
    <row r="7" spans="1:26" s="2" customFormat="1">
      <c r="A7" s="6" t="str">
        <f>B7&amp;"|"&amp;C7&amp;"|"&amp;D7&amp;"|"&amp;E7&amp;"|"&amp;F7&amp;"|"&amp;G7&amp;"|"&amp;H7&amp;"|"&amp;I7&amp;"|"&amp;J7&amp;"|"&amp;K7&amp;"|"&amp;L7&amp;"|"&amp;M7&amp;"|"&amp;N7&amp;"|"&amp;O7&amp;"|"&amp;P7&amp;"|"&amp;Q7&amp;"|"&amp;R7&amp;"|"&amp;S7&amp;"|"&amp;T7&amp;"|"&amp;U7&amp;"|"&amp;V7&amp;"|"&amp;W7&amp;"|"&amp;X7&amp;"|"&amp;Y7&amp;"|"&amp;Z7&amp;""</f>
        <v>BOR|1|COM|0|||ABJFS1083R|CKYC NO|Samcon Builders|38169|Registration Number|||||||||Office No 20 Yashodham Shopping Centre 1st Floor Above HDFC Bank Goregaon East Mumbai 400063|187602|10680|21|400063|IND</v>
      </c>
      <c r="B7" s="2" t="s">
        <v>18</v>
      </c>
      <c r="C7" s="2">
        <v>1</v>
      </c>
      <c r="D7" s="2" t="s">
        <v>19</v>
      </c>
      <c r="E7" s="2">
        <v>0</v>
      </c>
      <c r="H7" s="2" t="s">
        <v>20</v>
      </c>
      <c r="I7" s="2" t="s">
        <v>21</v>
      </c>
      <c r="J7" s="2" t="s">
        <v>22</v>
      </c>
      <c r="K7" s="4">
        <v>38169</v>
      </c>
      <c r="L7" s="2" t="s">
        <v>23</v>
      </c>
      <c r="U7" s="2" t="s">
        <v>24</v>
      </c>
      <c r="V7" s="2">
        <v>187602</v>
      </c>
      <c r="W7" s="3" t="s">
        <v>16</v>
      </c>
      <c r="X7" s="2">
        <v>21</v>
      </c>
      <c r="Y7" s="3">
        <v>400063</v>
      </c>
      <c r="Z7" s="2" t="s">
        <v>17</v>
      </c>
    </row>
    <row r="8" spans="1:26">
      <c r="R8" t="s">
        <v>3</v>
      </c>
    </row>
    <row r="9" spans="1:26" s="2" customFormat="1">
      <c r="A9" s="6" t="str">
        <f>B9&amp;"|"&amp;C9&amp;"|"&amp;D9&amp;"|"&amp;E9&amp;"|"&amp;F9&amp;"|"&amp;G9&amp;"|"&amp;H9&amp;"|"&amp;I9&amp;"|"&amp;J9&amp;"|"&amp;K9&amp;"|"&amp;L9&amp;"|"&amp;M9&amp;"|"&amp;N9&amp;"|"&amp;O9&amp;"|"&amp;P9&amp;"|"&amp;Q9&amp;"|"&amp;R9&amp;"|"&amp;S9&amp;"|"&amp;T9&amp;"|"&amp;U9&amp;"|"&amp;V9&amp;"|"&amp;W9&amp;"|"&amp;X9&amp;"|"&amp;Y9&amp;"|"&amp;Z9&amp;""</f>
        <v>BOR|2|IND|0||||||||ABLPB4977B||M|Vijay Dattajirao Bhosale|Dattajirao Bhosale|18639|9820302743|Email|Flat No A/602 Rukmini Vaibhav CHS Ltd Veera Desai Road Azad Nagar Road No 3 Andheri West Mumbai 400058|60744|10680|21|400058|IND</v>
      </c>
      <c r="B9" s="2" t="s">
        <v>18</v>
      </c>
      <c r="C9" s="2">
        <v>2</v>
      </c>
      <c r="D9" s="2" t="s">
        <v>17</v>
      </c>
      <c r="E9" s="2">
        <v>0</v>
      </c>
      <c r="M9" s="2" t="s">
        <v>25</v>
      </c>
      <c r="O9" s="2" t="s">
        <v>26</v>
      </c>
      <c r="P9" s="2" t="s">
        <v>27</v>
      </c>
      <c r="Q9" s="2" t="s">
        <v>28</v>
      </c>
      <c r="R9" s="4">
        <v>18639</v>
      </c>
      <c r="S9" s="2" t="s">
        <v>29</v>
      </c>
      <c r="T9" s="2" t="s">
        <v>30</v>
      </c>
      <c r="U9" s="2" t="s">
        <v>31</v>
      </c>
      <c r="V9" s="2">
        <v>60744</v>
      </c>
      <c r="W9" s="3" t="s">
        <v>16</v>
      </c>
      <c r="X9" s="2">
        <v>21</v>
      </c>
      <c r="Y9" s="3">
        <v>400058</v>
      </c>
      <c r="Z9" s="2" t="s">
        <v>17</v>
      </c>
    </row>
    <row r="10" spans="1:26">
      <c r="R10" t="s">
        <v>3</v>
      </c>
    </row>
    <row r="11" spans="1:26" s="2" customFormat="1">
      <c r="A11" s="6" t="str">
        <f>B11&amp;"|"&amp;C11&amp;"|"&amp;D11&amp;"|"&amp;E11&amp;"|"&amp;F11&amp;"|"&amp;G11&amp;"|"&amp;H11&amp;"|"&amp;I11&amp;"|"&amp;J11&amp;"|"&amp;K11&amp;"|"&amp;L11&amp;"|"&amp;M11&amp;"|"&amp;N11&amp;"|"&amp;O11&amp;"|"&amp;P11&amp;"|"&amp;Q11&amp;"|"&amp;R11&amp;"|"&amp;S11&amp;"|"&amp;T11&amp;"|"&amp;U11&amp;"|"&amp;V11&amp;"|"&amp;W11&amp;"|"&amp;X11&amp;"|"&amp;Y11&amp;"|"&amp;Z11&amp;""</f>
        <v>BOR|3|IND|1||||||||AFMPM1762L||M|RAJARAM R MASANE|R MASANE|22463|9820302743|Email|112 Raag Tower Megh Malhar Complex Nr Royal Challenge Hotel Goregaon East Mumbai 400063|187602|10680|21|400063|IND</v>
      </c>
      <c r="B11" s="2" t="s">
        <v>18</v>
      </c>
      <c r="C11" s="2">
        <v>3</v>
      </c>
      <c r="D11" s="2" t="s">
        <v>17</v>
      </c>
      <c r="E11" s="2">
        <v>1</v>
      </c>
      <c r="M11" s="2" t="s">
        <v>32</v>
      </c>
      <c r="O11" s="2" t="s">
        <v>26</v>
      </c>
      <c r="P11" s="2" t="s">
        <v>33</v>
      </c>
      <c r="Q11" s="2" t="s">
        <v>34</v>
      </c>
      <c r="R11" s="4">
        <v>22463</v>
      </c>
      <c r="S11" s="2" t="s">
        <v>29</v>
      </c>
      <c r="T11" s="2" t="s">
        <v>30</v>
      </c>
      <c r="U11" s="2" t="s">
        <v>35</v>
      </c>
      <c r="V11" s="2">
        <v>187602</v>
      </c>
      <c r="W11" s="3" t="s">
        <v>16</v>
      </c>
      <c r="X11" s="2">
        <v>21</v>
      </c>
      <c r="Y11" s="3">
        <v>400063</v>
      </c>
      <c r="Z11" s="2" t="s">
        <v>17</v>
      </c>
    </row>
    <row r="13" spans="1:26" s="2" customFormat="1" ht="15.6">
      <c r="A13" s="6" t="str">
        <f>B13&amp;"|"&amp;C13&amp;"|"&amp;D13&amp;"|"&amp;E13&amp;""</f>
        <v>CHG||ANANDRATHI GLOBAL FINANCE LIMITED|Express Zone B Wing 5th Floor Western Express Highway Opp Oberoi Mall Malad East Mumbai 400063</v>
      </c>
      <c r="B13" s="2" t="s">
        <v>36</v>
      </c>
      <c r="D13" s="2" t="s">
        <v>37</v>
      </c>
      <c r="E13" s="5" t="s">
        <v>38</v>
      </c>
      <c r="N13" s="2">
        <v>62995</v>
      </c>
      <c r="O13" s="3" t="s">
        <v>16</v>
      </c>
      <c r="P13" s="2">
        <v>21</v>
      </c>
      <c r="Q13" s="3">
        <v>400063</v>
      </c>
      <c r="R13" s="2" t="s">
        <v>17</v>
      </c>
    </row>
    <row r="20" spans="1:1">
      <c r="A2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Pujare</dc:creator>
  <cp:keywords/>
  <dc:description/>
  <cp:lastModifiedBy/>
  <cp:revision/>
  <dcterms:created xsi:type="dcterms:W3CDTF">2026-08-31T17:51:04Z</dcterms:created>
  <dcterms:modified xsi:type="dcterms:W3CDTF">2026-09-27T06:49:57Z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2026-08-31T19:47:44Z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75c43489-624e-4a7e-a26d-f4b517634673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